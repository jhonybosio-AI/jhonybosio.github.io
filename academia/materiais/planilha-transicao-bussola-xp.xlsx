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 &amp; Instruções" sheetId="1" state="visible" r:id="rId1"/>
    <sheet xmlns:r="http://schemas.openxmlformats.org/officeDocument/2006/relationships" name="Raio-X de Custos" sheetId="2" state="visible" r:id="rId2"/>
    <sheet xmlns:r="http://schemas.openxmlformats.org/officeDocument/2006/relationships" name="Bússola de Transi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"/>
    <numFmt numFmtId="165" formatCode="0.0%"/>
    <numFmt numFmtId="166" formatCode="+0.0%;-0.0%;0.0%"/>
    <numFmt numFmtId="167" formatCode="R$ +#,##0;R$ -#,##0;R$ 0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i val="1"/>
      <color rgb="00D4AF37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0A84FF"/>
      <sz val="12"/>
    </font>
    <font>
      <name val="Segoe UI"/>
      <b val="1"/>
      <color rgb="000C0D12"/>
      <sz val="10"/>
    </font>
    <font>
      <name val="Segoe UI"/>
      <sz val="10"/>
    </font>
    <font>
      <name val="Segoe UI"/>
      <b val="1"/>
      <color rgb="00D4AF37"/>
      <sz val="11"/>
    </font>
    <font>
      <name val="Segoe UI"/>
      <i val="1"/>
      <color rgb="00DDDDDD"/>
      <sz val="10"/>
    </font>
    <font>
      <name val="Segoe UI"/>
      <b val="1"/>
      <color rgb="00FFFFFF"/>
      <sz val="10"/>
    </font>
    <font>
      <name val="Segoe UI"/>
      <b val="1"/>
      <color rgb="00A52A2A"/>
      <sz val="10"/>
    </font>
    <font>
      <name val="Segoe UI"/>
      <i val="1"/>
      <sz val="10"/>
    </font>
    <font>
      <name val="Segoe UI"/>
      <b val="1"/>
      <sz val="10"/>
    </font>
    <font>
      <name val="Segoe UI"/>
      <color rgb="00888888"/>
      <sz val="10"/>
    </font>
    <font>
      <name val="Segoe UI"/>
      <b val="1"/>
      <color rgb="00991B1B"/>
      <sz val="10"/>
    </font>
    <font>
      <name val="Segoe UI"/>
      <b val="1"/>
      <color rgb="000C0D12"/>
      <sz val="12"/>
    </font>
    <font>
      <name val="Segoe UI"/>
      <b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0C0D12"/>
        <bgColor rgb="000C0D12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0A84FF"/>
        <bgColor rgb="000A84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AAAAAA"/>
      </top>
      <bottom style="double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 wrapText="1"/>
    </xf>
    <xf numFmtId="0" fontId="0" fillId="4" borderId="1" pivotButton="0" quotePrefix="0" xfId="0"/>
    <xf numFmtId="0" fontId="16" fillId="0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164" fontId="7" fillId="6" borderId="1" pivotButton="0" quotePrefix="0" xfId="0"/>
    <xf numFmtId="10" fontId="7" fillId="6" borderId="1" pivotButton="0" quotePrefix="0" xfId="0"/>
    <xf numFmtId="165" fontId="7" fillId="6" borderId="1" pivotButton="0" quotePrefix="0" xfId="0"/>
    <xf numFmtId="164" fontId="11" fillId="0" borderId="1" pivotButton="0" quotePrefix="0" xfId="0"/>
    <xf numFmtId="10" fontId="12" fillId="6" borderId="1" pivotButton="0" quotePrefix="0" xfId="0"/>
    <xf numFmtId="0" fontId="7" fillId="0" borderId="1" applyAlignment="1" pivotButton="0" quotePrefix="0" xfId="0">
      <alignment horizontal="left" vertical="center"/>
    </xf>
    <xf numFmtId="164" fontId="7" fillId="0" borderId="1" pivotButton="0" quotePrefix="0" xfId="0"/>
    <xf numFmtId="10" fontId="7" fillId="0" borderId="1" pivotButton="0" quotePrefix="0" xfId="0"/>
    <xf numFmtId="165" fontId="7" fillId="0" borderId="1" pivotButton="0" quotePrefix="0" xfId="0"/>
    <xf numFmtId="10" fontId="12" fillId="0" borderId="1" pivotButton="0" quotePrefix="0" xfId="0"/>
    <xf numFmtId="0" fontId="6" fillId="0" borderId="2" applyAlignment="1" pivotButton="0" quotePrefix="0" xfId="0">
      <alignment horizontal="right" vertical="center"/>
    </xf>
    <xf numFmtId="164" fontId="13" fillId="0" borderId="2" pivotButton="0" quotePrefix="0" xfId="0"/>
    <xf numFmtId="0" fontId="14" fillId="0" borderId="2" applyAlignment="1" pivotButton="0" quotePrefix="0" xfId="0">
      <alignment horizontal="center"/>
    </xf>
    <xf numFmtId="164" fontId="15" fillId="7" borderId="2" pivotButton="0" quotePrefix="0" xfId="0"/>
    <xf numFmtId="10" fontId="15" fillId="7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6" fontId="7" fillId="6" borderId="1" pivotButton="0" quotePrefix="0" xfId="0"/>
    <xf numFmtId="167" fontId="13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6" fontId="7" fillId="0" borderId="1" pivotButton="0" quotePrefix="0" xfId="0"/>
    <xf numFmtId="0" fontId="10" fillId="2" borderId="2" applyAlignment="1" pivotButton="0" quotePrefix="0" xfId="0">
      <alignment horizontal="right" vertical="center"/>
    </xf>
    <xf numFmtId="0" fontId="14" fillId="2" borderId="2" applyAlignment="1" pivotButton="0" quotePrefix="0" xfId="0">
      <alignment horizontal="center"/>
    </xf>
    <xf numFmtId="165" fontId="10" fillId="2" borderId="2" applyAlignment="1" pivotButton="0" quotePrefix="0" xfId="0">
      <alignment horizontal="right"/>
    </xf>
    <xf numFmtId="164" fontId="10" fillId="2" borderId="2" pivotButton="0" quotePrefix="0" xfId="0"/>
    <xf numFmtId="0" fontId="10" fillId="2" borderId="2" applyAlignment="1" pivotButton="0" quotePrefix="0" xfId="0">
      <alignment horizontal="center"/>
    </xf>
    <xf numFmtId="0" fontId="1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  <col width="15" customWidth="1" min="4" max="4"/>
    <col width="3" customWidth="1" min="5" max="5"/>
  </cols>
  <sheetData>
    <row r="2" ht="40" customHeight="1">
      <c r="B2" s="1" t="inlineStr">
        <is>
          <t>PLANILHA DE TRANSIÇÃO BÚSSOLA XP</t>
        </is>
      </c>
    </row>
    <row r="3" ht="20" customHeight="1">
      <c r="B3" s="2" t="inlineStr">
        <is>
          <t>Jhony Bosio · Private Advisor</t>
        </is>
      </c>
    </row>
    <row r="5">
      <c r="B5" s="3" t="inlineStr">
        <is>
          <t>Olá,</t>
        </is>
      </c>
    </row>
    <row r="6">
      <c r="B6" s="4" t="inlineStr">
        <is>
          <t>Esta ferramenta foi estruturada para quantificar de forma exata e científica as taxas ocultas que estão consumindo o rendimento do seu patrimônio e calcular o rebalanceamento exato sob a engenharia do Protocolo 9A.</t>
        </is>
      </c>
    </row>
    <row r="8">
      <c r="B8" s="5" t="inlineStr">
        <is>
          <t>ROTEIRO DE EXECUÇÃO</t>
        </is>
      </c>
    </row>
    <row r="10" ht="35" customHeight="1">
      <c r="B10" s="6" t="inlineStr">
        <is>
          <t>Passo 1</t>
        </is>
      </c>
      <c r="C10" s="7" t="inlineStr">
        <is>
          <t>Acesse a aba 'Raio-X de Custos Atuais' e preencha todos os seus investimentos atuais (fundos, CDBs, CRIs, etc.) para ver o custo total invisível anual de distribuição.</t>
        </is>
      </c>
    </row>
    <row r="12" ht="35" customHeight="1">
      <c r="B12" s="6" t="inlineStr">
        <is>
          <t>Passo 2</t>
        </is>
      </c>
      <c r="C12" s="7" t="inlineStr">
        <is>
          <t>Acesse a aba 'Matriz Rebalanceamento 9A' e defina o seu Patrimônio Total a ser alocado (que já será calculado automaticamente a partir dos saldos da carteira).</t>
        </is>
      </c>
    </row>
    <row r="14" ht="35" customHeight="1">
      <c r="B14" s="6" t="inlineStr">
        <is>
          <t>Passo 3</t>
        </is>
      </c>
      <c r="C14" s="7" t="inlineStr">
        <is>
          <t>Preencha a coluna de 'Alocação Alvo %' para cada uma das 9 Classes Globais baseada no seu Perfil de Risco (a soma deve dar 100%).</t>
        </is>
      </c>
    </row>
    <row r="16" ht="35" customHeight="1">
      <c r="B16" s="6" t="inlineStr">
        <is>
          <t>Passo 4</t>
        </is>
      </c>
      <c r="C16" s="7" t="inlineStr">
        <is>
          <t>Preencha a coluna de 'Valor Atual R$' com seus saldos de investimentos em cada classe. A planilha calculará na coluna de 'Ajuste R$' o valor exato a ser comprado ou vendido para cada ETF.</t>
        </is>
      </c>
    </row>
    <row r="19" ht="25" customHeight="1">
      <c r="B19" s="8" t="inlineStr">
        <is>
          <t>⚠️ AVISO FIDUCIÁRIO DE COMPLEXIDADE TÉCNICA</t>
        </is>
      </c>
    </row>
    <row r="20" ht="30" customHeight="1">
      <c r="B20" s="9" t="inlineStr">
        <is>
          <t>A planilha de transição fornece a modelagem matemática exata para o seu portfólio. No entanto, a execução física da transição exige precisão cirúrgica: calibrar spreads de renda fixa, gerenciar corretagens, mitigar atritos tributários nacionais e globais, e planejar o fluxo cambial são processos de alta complexidade. Pequenos desvios operacionais podem anular toda a economia de taxas proporcionada pelos ETFs. Recomendamos contar com um Advisor especializado para auditar e pilotar sua transição com segurança fiduciária total.</t>
        </is>
      </c>
      <c r="C20" s="10" t="n"/>
      <c r="D20" s="10" t="n"/>
    </row>
    <row r="21" ht="30" customHeight="1">
      <c r="B21" s="10" t="n"/>
      <c r="C21" s="10" t="n"/>
      <c r="D21" s="10" t="n"/>
    </row>
    <row r="22" ht="30" customHeight="1">
      <c r="B22" s="10" t="n"/>
      <c r="C22" s="10" t="n"/>
      <c r="D22" s="10" t="n"/>
    </row>
  </sheetData>
  <mergeCells count="4">
    <mergeCell ref="B3:D3"/>
    <mergeCell ref="B19:D19"/>
    <mergeCell ref="B2:D2"/>
    <mergeCell ref="B20:D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</cols>
  <sheetData>
    <row r="1" ht="25" customHeight="1">
      <c r="A1" s="11" t="inlineStr">
        <is>
          <t>RAIO-X DE CUSTOS OCULTOS DA CARTEIRA</t>
        </is>
      </c>
    </row>
    <row r="3" ht="28" customHeight="1">
      <c r="A3" s="12" t="inlineStr">
        <is>
          <t>Produto de Investimento Atual</t>
        </is>
      </c>
      <c r="B3" s="12" t="inlineStr">
        <is>
          <t>Valor Alocado (R$)</t>
        </is>
      </c>
      <c r="C3" s="12" t="inlineStr">
        <is>
          <t>Taxa de Adm. (a.a.)</t>
        </is>
      </c>
      <c r="D3" s="12" t="inlineStr">
        <is>
          <t>Taxa Perf. (%)</t>
        </is>
      </c>
      <c r="E3" s="12" t="inlineStr">
        <is>
          <t>Retorno Est. (a.a.)</t>
        </is>
      </c>
      <c r="F3" s="12" t="inlineStr">
        <is>
          <t>Spread Oculto (%)</t>
        </is>
      </c>
      <c r="G3" s="12" t="inlineStr">
        <is>
          <t>Custo Oculto (R$/ano)</t>
        </is>
      </c>
      <c r="H3" s="12" t="inlineStr">
        <is>
          <t>Custo Efetivo</t>
        </is>
      </c>
    </row>
    <row r="4" ht="22" customHeight="1">
      <c r="A4" s="13" t="inlineStr">
        <is>
          <t>Fundo de Ações Ativo Bancário</t>
        </is>
      </c>
      <c r="B4" s="14" t="n">
        <v>250000</v>
      </c>
      <c r="C4" s="15" t="n">
        <v>0.025</v>
      </c>
      <c r="D4" s="16" t="n">
        <v>0.2</v>
      </c>
      <c r="E4" s="16" t="n">
        <v>0.12</v>
      </c>
      <c r="F4" s="15" t="n">
        <v>0</v>
      </c>
      <c r="G4" s="17">
        <f>(B4*(C4+F4)) + SE(D4&gt;0; B4*D4*SE(E4&gt;0;E4;0); 0)</f>
        <v/>
      </c>
      <c r="H4" s="18">
        <f>G4/B4</f>
        <v/>
      </c>
    </row>
    <row r="5" ht="22" customHeight="1">
      <c r="A5" s="19" t="inlineStr">
        <is>
          <t>Fundo Multimercado de Corretora</t>
        </is>
      </c>
      <c r="B5" s="20" t="n">
        <v>150000</v>
      </c>
      <c r="C5" s="21" t="n">
        <v>0.02</v>
      </c>
      <c r="D5" s="22" t="n">
        <v>0.2</v>
      </c>
      <c r="E5" s="22" t="n">
        <v>0.1</v>
      </c>
      <c r="F5" s="21" t="n">
        <v>0</v>
      </c>
      <c r="G5" s="17">
        <f>(B5*(C5+F5)) + SE(D5&gt;0; B5*D5*SE(E5&gt;0;E5;0); 0)</f>
        <v/>
      </c>
      <c r="H5" s="23">
        <f>G5/B5</f>
        <v/>
      </c>
    </row>
    <row r="6" ht="22" customHeight="1">
      <c r="A6" s="13" t="inlineStr">
        <is>
          <t>CDB de Banco Médio Privado</t>
        </is>
      </c>
      <c r="B6" s="14" t="n">
        <v>100000</v>
      </c>
      <c r="C6" s="15" t="n">
        <v>0</v>
      </c>
      <c r="D6" s="16" t="n">
        <v>0</v>
      </c>
      <c r="E6" s="16" t="n">
        <v>0</v>
      </c>
      <c r="F6" s="15" t="n">
        <v>0.008</v>
      </c>
      <c r="G6" s="17">
        <f>(B6*(C6+F6)) + SE(D6&gt;0; B6*D6*SE(E6&gt;0;E6;0); 0)</f>
        <v/>
      </c>
      <c r="H6" s="18">
        <f>G6/B6</f>
        <v/>
      </c>
    </row>
    <row r="7" ht="22" customHeight="1">
      <c r="A7" s="19" t="inlineStr">
        <is>
          <t>Fundo de Renda Fixa de Varejo</t>
        </is>
      </c>
      <c r="B7" s="20" t="n">
        <v>100000</v>
      </c>
      <c r="C7" s="21" t="n">
        <v>0.015</v>
      </c>
      <c r="D7" s="22" t="n">
        <v>0</v>
      </c>
      <c r="E7" s="22" t="n">
        <v>0</v>
      </c>
      <c r="F7" s="21" t="n">
        <v>0</v>
      </c>
      <c r="G7" s="17">
        <f>(B7*(C7+F7)) + SE(D7&gt;0; B7*D7*SE(E7&gt;0;E7;0); 0)</f>
        <v/>
      </c>
      <c r="H7" s="23">
        <f>G7/B7</f>
        <v/>
      </c>
    </row>
    <row r="8" ht="22" customHeight="1">
      <c r="A8" s="13" t="inlineStr">
        <is>
          <t>Ações / Debêntures com Spread</t>
        </is>
      </c>
      <c r="B8" s="14" t="n">
        <v>50000</v>
      </c>
      <c r="C8" s="15" t="n">
        <v>0</v>
      </c>
      <c r="D8" s="16" t="n">
        <v>0</v>
      </c>
      <c r="E8" s="16" t="n">
        <v>0</v>
      </c>
      <c r="F8" s="15" t="n">
        <v>0.005</v>
      </c>
      <c r="G8" s="17">
        <f>(B8*(C8+F8)) + SE(D8&gt;0; B8*D8*SE(E8&gt;0;E8;0); 0)</f>
        <v/>
      </c>
      <c r="H8" s="18">
        <f>G8/B8</f>
        <v/>
      </c>
    </row>
    <row r="9" ht="25" customHeight="1">
      <c r="A9" s="24" t="inlineStr">
        <is>
          <t>TOTAL DA CARTEIRA ATUAL</t>
        </is>
      </c>
      <c r="B9" s="25">
        <f>SUM(B4:B8)</f>
        <v/>
      </c>
      <c r="C9" s="26" t="inlineStr">
        <is>
          <t>—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—</t>
        </is>
      </c>
      <c r="G9" s="27">
        <f>SUM(G4:G8)</f>
        <v/>
      </c>
      <c r="H9" s="28">
        <f>G9/B9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16" customWidth="1" min="9" max="9"/>
  </cols>
  <sheetData>
    <row r="1" ht="25" customHeight="1">
      <c r="A1" s="11" t="inlineStr">
        <is>
          <t>MATRIZ DE ALOCAÇÃO E REBALANCEAMENTO FIDUCIÁRIO (PROTOCOLO 9A)</t>
        </is>
      </c>
    </row>
    <row r="3" ht="28" customHeight="1">
      <c r="A3" s="29" t="inlineStr">
        <is>
          <t>Classe de Ativo Global</t>
        </is>
      </c>
      <c r="B3" s="29" t="inlineStr">
        <is>
          <t>ETF Sugerido</t>
        </is>
      </c>
      <c r="C3" s="29" t="inlineStr">
        <is>
          <t>Alocação Alvo (%)</t>
        </is>
      </c>
      <c r="D3" s="29" t="inlineStr">
        <is>
          <t>Valor Alvo (R$)</t>
        </is>
      </c>
      <c r="E3" s="29" t="inlineStr">
        <is>
          <t>Alocação Atual (%)</t>
        </is>
      </c>
      <c r="F3" s="29" t="inlineStr">
        <is>
          <t>Valor Atual (R$)</t>
        </is>
      </c>
      <c r="G3" s="29" t="inlineStr">
        <is>
          <t>Desvio (%)</t>
        </is>
      </c>
      <c r="H3" s="29" t="inlineStr">
        <is>
          <t>Ajuste (R$)</t>
        </is>
      </c>
      <c r="I3" s="29" t="inlineStr">
        <is>
          <t>Ação Recomendada</t>
        </is>
      </c>
    </row>
    <row r="4" ht="22" customHeight="1">
      <c r="A4" s="30" t="inlineStr">
        <is>
          <t>Ações Internacionais (EUA)</t>
        </is>
      </c>
      <c r="B4" s="31" t="inlineStr">
        <is>
          <t>IVVB11</t>
        </is>
      </c>
      <c r="C4" s="16" t="n">
        <v>0.25</v>
      </c>
      <c r="D4" s="14">
        <f>C4*F$14</f>
        <v/>
      </c>
      <c r="E4" s="15">
        <f>F4/F$14</f>
        <v/>
      </c>
      <c r="F4" s="14" t="n">
        <v>120000</v>
      </c>
      <c r="G4" s="32">
        <f>E4-C4</f>
        <v/>
      </c>
      <c r="H4" s="33">
        <f>D4-F4</f>
        <v/>
      </c>
      <c r="I4" s="34">
        <f>IF(H4&gt;1000;"COMPRAR";IF(H4&lt;-1000;"VENDER";"MANTER"))</f>
        <v/>
      </c>
    </row>
    <row r="5" ht="22" customHeight="1">
      <c r="A5" s="35" t="inlineStr">
        <is>
          <t>Renda Fixa Inflação (IPCA+)</t>
        </is>
      </c>
      <c r="B5" s="36" t="inlineStr">
        <is>
          <t>IMAB11</t>
        </is>
      </c>
      <c r="C5" s="22" t="n">
        <v>0.2</v>
      </c>
      <c r="D5" s="20">
        <f>C5*F$14</f>
        <v/>
      </c>
      <c r="E5" s="21">
        <f>F5/F$14</f>
        <v/>
      </c>
      <c r="F5" s="20" t="n">
        <v>150000</v>
      </c>
      <c r="G5" s="37">
        <f>E5-C5</f>
        <v/>
      </c>
      <c r="H5" s="33">
        <f>D5-F5</f>
        <v/>
      </c>
      <c r="I5" s="34">
        <f>IF(H5&gt;1000;"COMPRAR";IF(H5&lt;-1000;"VENDER";"MANTER"))</f>
        <v/>
      </c>
    </row>
    <row r="6" ht="22" customHeight="1">
      <c r="A6" s="30" t="inlineStr">
        <is>
          <t>Ações Brasil (Ibovespa)</t>
        </is>
      </c>
      <c r="B6" s="31" t="inlineStr">
        <is>
          <t>BOVA11</t>
        </is>
      </c>
      <c r="C6" s="16" t="n">
        <v>0.15</v>
      </c>
      <c r="D6" s="14">
        <f>C6*F$14</f>
        <v/>
      </c>
      <c r="E6" s="15">
        <f>F6/F$14</f>
        <v/>
      </c>
      <c r="F6" s="14" t="n">
        <v>100000</v>
      </c>
      <c r="G6" s="32">
        <f>E6-C6</f>
        <v/>
      </c>
      <c r="H6" s="33">
        <f>D6-F6</f>
        <v/>
      </c>
      <c r="I6" s="34">
        <f>IF(H6&gt;1000;"COMPRAR";IF(H6&lt;-1000;"VENDER";"MANTER"))</f>
        <v/>
      </c>
    </row>
    <row r="7" ht="22" customHeight="1">
      <c r="A7" s="35" t="inlineStr">
        <is>
          <t>Renda Fixa Pré-fixada</t>
        </is>
      </c>
      <c r="B7" s="36" t="inlineStr">
        <is>
          <t>IRFM11</t>
        </is>
      </c>
      <c r="C7" s="22" t="n">
        <v>0.1</v>
      </c>
      <c r="D7" s="20">
        <f>C7*F$14</f>
        <v/>
      </c>
      <c r="E7" s="21">
        <f>F7/F$14</f>
        <v/>
      </c>
      <c r="F7" s="20" t="n">
        <v>50000</v>
      </c>
      <c r="G7" s="37">
        <f>E7-C7</f>
        <v/>
      </c>
      <c r="H7" s="33">
        <f>D7-F7</f>
        <v/>
      </c>
      <c r="I7" s="34">
        <f>IF(H7&gt;1000;"COMPRAR";IF(H7&lt;-1000;"VENDER";"MANTER"))</f>
        <v/>
      </c>
    </row>
    <row r="8" ht="22" customHeight="1">
      <c r="A8" s="30" t="inlineStr">
        <is>
          <t>Ativos Reais / Imóveis</t>
        </is>
      </c>
      <c r="B8" s="31" t="inlineStr">
        <is>
          <t>XFIX11</t>
        </is>
      </c>
      <c r="C8" s="16" t="n">
        <v>0.1</v>
      </c>
      <c r="D8" s="14">
        <f>C8*F$14</f>
        <v/>
      </c>
      <c r="E8" s="15">
        <f>F8/F$14</f>
        <v/>
      </c>
      <c r="F8" s="14" t="n">
        <v>80000</v>
      </c>
      <c r="G8" s="32">
        <f>E8-C8</f>
        <v/>
      </c>
      <c r="H8" s="33">
        <f>D8-F8</f>
        <v/>
      </c>
      <c r="I8" s="34">
        <f>IF(H8&gt;1000;"COMPRAR";IF(H8&lt;-1000;"VENDER";"MANTER"))</f>
        <v/>
      </c>
    </row>
    <row r="9" ht="22" customHeight="1">
      <c r="A9" s="35" t="inlineStr">
        <is>
          <t>Ações Emergentes Globais</t>
        </is>
      </c>
      <c r="B9" s="36" t="inlineStr">
        <is>
          <t>XINA11</t>
        </is>
      </c>
      <c r="C9" s="22" t="n">
        <v>0.05</v>
      </c>
      <c r="D9" s="20">
        <f>C9*F$14</f>
        <v/>
      </c>
      <c r="E9" s="21">
        <f>F9/F$14</f>
        <v/>
      </c>
      <c r="F9" s="20" t="n">
        <v>20000</v>
      </c>
      <c r="G9" s="37">
        <f>E9-C9</f>
        <v/>
      </c>
      <c r="H9" s="33">
        <f>D9-F9</f>
        <v/>
      </c>
      <c r="I9" s="34">
        <f>IF(H9&gt;1000;"COMPRAR";IF(H9&lt;-1000;"VENDER";"MANTER"))</f>
        <v/>
      </c>
    </row>
    <row r="10" ht="22" customHeight="1">
      <c r="A10" s="30" t="inlineStr">
        <is>
          <t>Commodities / Ouro</t>
        </is>
      </c>
      <c r="B10" s="31" t="inlineStr">
        <is>
          <t>GOLD11</t>
        </is>
      </c>
      <c r="C10" s="16" t="n">
        <v>0.05</v>
      </c>
      <c r="D10" s="14">
        <f>C10*F$14</f>
        <v/>
      </c>
      <c r="E10" s="15">
        <f>F10/F$14</f>
        <v/>
      </c>
      <c r="F10" s="14" t="n">
        <v>30000</v>
      </c>
      <c r="G10" s="32">
        <f>E10-C10</f>
        <v/>
      </c>
      <c r="H10" s="33">
        <f>D10-F10</f>
        <v/>
      </c>
      <c r="I10" s="34">
        <f>IF(H10&gt;1000;"COMPRAR";IF(H10&lt;-1000;"VENDER";"MANTER"))</f>
        <v/>
      </c>
    </row>
    <row r="11" ht="22" customHeight="1">
      <c r="A11" s="35" t="inlineStr">
        <is>
          <t>Renda Fixa Pós-fixada (CDI)</t>
        </is>
      </c>
      <c r="B11" s="36" t="inlineStr">
        <is>
          <t>LFTS11</t>
        </is>
      </c>
      <c r="C11" s="22" t="n">
        <v>0.05</v>
      </c>
      <c r="D11" s="20">
        <f>C11*F$14</f>
        <v/>
      </c>
      <c r="E11" s="21">
        <f>F11/F$14</f>
        <v/>
      </c>
      <c r="F11" s="20" t="n">
        <v>40000</v>
      </c>
      <c r="G11" s="37">
        <f>E11-C11</f>
        <v/>
      </c>
      <c r="H11" s="33">
        <f>D11-F11</f>
        <v/>
      </c>
      <c r="I11" s="34">
        <f>IF(H11&gt;1000;"COMPRAR";IF(H11&lt;-1000;"VENDER";"MANTER"))</f>
        <v/>
      </c>
    </row>
    <row r="12" ht="22" customHeight="1">
      <c r="A12" s="30" t="inlineStr">
        <is>
          <t>Caixa / Liquidez</t>
        </is>
      </c>
      <c r="B12" s="31" t="inlineStr">
        <is>
          <t>Tesouro Selic</t>
        </is>
      </c>
      <c r="C12" s="16" t="n">
        <v>0.05</v>
      </c>
      <c r="D12" s="14">
        <f>C12*F$14</f>
        <v/>
      </c>
      <c r="E12" s="15">
        <f>F12/F$14</f>
        <v/>
      </c>
      <c r="F12" s="14" t="n">
        <v>60000</v>
      </c>
      <c r="G12" s="32">
        <f>E12-C12</f>
        <v/>
      </c>
      <c r="H12" s="33">
        <f>D12-F12</f>
        <v/>
      </c>
      <c r="I12" s="34">
        <f>IF(H12&gt;1000;"COMPRAR";IF(H12&lt;-1000;"VENDER";"MANTER"))</f>
        <v/>
      </c>
    </row>
    <row r="14" ht="25" customHeight="1">
      <c r="A14" s="38" t="inlineStr">
        <is>
          <t>PATRIMÔNIO TOTAL ALOCADO</t>
        </is>
      </c>
      <c r="B14" s="39" t="inlineStr">
        <is>
          <t>—</t>
        </is>
      </c>
      <c r="C14" s="40">
        <f>SUM(C4:C13)</f>
        <v/>
      </c>
      <c r="D14" s="41">
        <f>SUM(D4:D13)</f>
        <v/>
      </c>
      <c r="E14" s="40">
        <f>SUM(E4:E13)</f>
        <v/>
      </c>
      <c r="F14" s="41">
        <f>SUM(F4:F13)</f>
        <v/>
      </c>
      <c r="G14" s="40">
        <f>SUM(G4:G13)</f>
        <v/>
      </c>
      <c r="H14" s="41">
        <f>SUM(H4:H13)</f>
        <v/>
      </c>
      <c r="I14" s="42" t="inlineStr">
        <is>
          <t>CONCLUÍDO</t>
        </is>
      </c>
    </row>
    <row r="16" ht="20" customHeight="1">
      <c r="A16" s="43" t="inlineStr">
        <is>
          <t>💡 Como Executar: Substitua os valores da coluna 'Valor Atual (R$)' pelos seus saldos reais. A coluna 'Ajuste' indicará se você deve COMPRAR (+) ou VENDER (-) ativos.</t>
        </is>
      </c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2026-05-22T13:56:42Z</dcterms:created>
  <dcterms:modified xmlns:dcterms="http://purl.org/dc/terms/" xmlns:xsi="http://www.w3.org/2001/XMLSchema-instance" xsi:type="dcterms:W3CDTF">2026-05-22T13:56:42Z</dcterms:modified>
</cp:coreProperties>
</file>